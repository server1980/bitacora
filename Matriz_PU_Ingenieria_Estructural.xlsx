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triz PU" sheetId="1" state="visible" r:id="rId1"/>
    <sheet name="Gráfica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$#,##0.00"/>
    <numFmt numFmtId="165" formatCode="$#,##0.00;($#,##0.00);-"/>
    <numFmt numFmtId="166" formatCode="0.0%;-0.0%;-"/>
    <numFmt numFmtId="167" formatCode="0.0%"/>
  </numFmts>
  <fonts count="12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9"/>
    </font>
    <font>
      <name val="Arial"/>
      <b val="1"/>
      <color rgb="00FFFFFF"/>
      <sz val="10"/>
    </font>
    <font>
      <name val="Arial"/>
      <sz val="10"/>
    </font>
    <font>
      <name val="Arial"/>
      <color rgb="000000FF"/>
      <sz val="10"/>
    </font>
    <font>
      <name val="Arial"/>
      <b val="1"/>
      <sz val="10"/>
    </font>
    <font>
      <name val="Arial"/>
      <b val="1"/>
      <sz val="11"/>
    </font>
    <font>
      <name val="Arial"/>
      <i val="1"/>
      <sz val="9"/>
    </font>
    <font>
      <name val="Arial"/>
      <b val="1"/>
      <sz val="13"/>
    </font>
    <font>
      <name val="Arial"/>
      <b val="1"/>
      <color rgb="00008000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41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applyAlignment="1" pivotButton="0" quotePrefix="0" xfId="0">
      <alignment vertical="top" wrapText="1"/>
    </xf>
    <xf numFmtId="0" fontId="4" fillId="2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/>
    </xf>
    <xf numFmtId="0" fontId="5" fillId="0" borderId="1" pivotButton="0" quotePrefix="0" xfId="0"/>
    <xf numFmtId="4" fontId="6" fillId="0" borderId="1" pivotButton="0" quotePrefix="0" xfId="0"/>
    <xf numFmtId="164" fontId="6" fillId="0" borderId="1" pivotButton="0" quotePrefix="0" xfId="0"/>
    <xf numFmtId="165" fontId="5" fillId="0" borderId="1" pivotButton="0" quotePrefix="0" xfId="0"/>
    <xf numFmtId="166" fontId="5" fillId="0" borderId="1" pivotButton="0" quotePrefix="0" xfId="0"/>
    <xf numFmtId="0" fontId="3" fillId="0" borderId="1" applyAlignment="1" pivotButton="0" quotePrefix="0" xfId="0">
      <alignment vertical="top" wrapText="1"/>
    </xf>
    <xf numFmtId="0" fontId="6" fillId="3" borderId="1" applyAlignment="1" pivotButton="0" quotePrefix="0" xfId="0">
      <alignment horizontal="center"/>
    </xf>
    <xf numFmtId="0" fontId="5" fillId="3" borderId="1" pivotButton="0" quotePrefix="0" xfId="0"/>
    <xf numFmtId="4" fontId="6" fillId="3" borderId="1" pivotButton="0" quotePrefix="0" xfId="0"/>
    <xf numFmtId="164" fontId="6" fillId="3" borderId="1" pivotButton="0" quotePrefix="0" xfId="0"/>
    <xf numFmtId="165" fontId="5" fillId="3" borderId="1" pivotButton="0" quotePrefix="0" xfId="0"/>
    <xf numFmtId="166" fontId="5" fillId="3" borderId="1" pivotButton="0" quotePrefix="0" xfId="0"/>
    <xf numFmtId="0" fontId="3" fillId="3" borderId="1" applyAlignment="1" pivotButton="0" quotePrefix="0" xfId="0">
      <alignment vertical="top" wrapText="1"/>
    </xf>
    <xf numFmtId="0" fontId="7" fillId="4" borderId="1" pivotButton="0" quotePrefix="0" xfId="0"/>
    <xf numFmtId="164" fontId="7" fillId="4" borderId="1" pivotButton="0" quotePrefix="0" xfId="0"/>
    <xf numFmtId="167" fontId="7" fillId="4" borderId="1" pivotButton="0" quotePrefix="0" xfId="0"/>
    <xf numFmtId="0" fontId="8" fillId="0" borderId="0" pivotButton="0" quotePrefix="0" xfId="0"/>
    <xf numFmtId="0" fontId="7" fillId="0" borderId="0" pivotButton="0" quotePrefix="0" xfId="0"/>
    <xf numFmtId="0" fontId="7" fillId="0" borderId="1" pivotButton="0" quotePrefix="0" xfId="0"/>
    <xf numFmtId="0" fontId="0" fillId="0" borderId="1" pivotButton="0" quotePrefix="0" xfId="0"/>
    <xf numFmtId="164" fontId="7" fillId="0" borderId="1" pivotButton="0" quotePrefix="0" xfId="0"/>
    <xf numFmtId="10" fontId="6" fillId="5" borderId="1" pivotButton="0" quotePrefix="0" xfId="0"/>
    <xf numFmtId="164" fontId="5" fillId="0" borderId="1" pivotButton="0" quotePrefix="0" xfId="0"/>
    <xf numFmtId="0" fontId="8" fillId="4" borderId="1" pivotButton="0" quotePrefix="0" xfId="0"/>
    <xf numFmtId="164" fontId="8" fillId="4" borderId="1" pivotButton="0" quotePrefix="0" xfId="0"/>
    <xf numFmtId="0" fontId="9" fillId="0" borderId="0" pivotButton="0" quotePrefix="0" xfId="0"/>
    <xf numFmtId="0" fontId="10" fillId="0" borderId="0" pivotButton="0" quotePrefix="0" xfId="0"/>
    <xf numFmtId="0" fontId="4" fillId="2" borderId="0" pivotButton="0" quotePrefix="0" xfId="0"/>
    <xf numFmtId="0" fontId="5" fillId="0" borderId="0" pivotButton="0" quotePrefix="0" xfId="0"/>
    <xf numFmtId="165" fontId="0" fillId="0" borderId="0" pivotButton="0" quotePrefix="0" xfId="0"/>
    <xf numFmtId="166" fontId="0" fillId="0" borderId="0" pivotButton="0" quotePrefix="0" xfId="0"/>
    <xf numFmtId="0" fontId="7" fillId="4" borderId="0" pivotButton="0" quotePrefix="0" xfId="0"/>
    <xf numFmtId="164" fontId="7" fillId="4" borderId="0" pivotButton="0" quotePrefix="0" xfId="0"/>
    <xf numFmtId="167" fontId="7" fillId="4" borderId="0" pivotButton="0" quotePrefix="0" xfId="0"/>
    <xf numFmtId="164" fontId="11" fillId="0" borderId="0" pivotButton="0" quotePrefix="0" xfId="0"/>
  </cellXfs>
  <cellStyles count="1">
    <cellStyle name="Normal" xfId="0" builtinId="0" hidden="0"/>
  </cellStyles>
  <dxfs count="1">
    <dxf>
      <font>
        <name val="Arial"/>
        <strike val="1"/>
        <color rgb="00999999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harts/chart1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Costo directo por tipo de insumo</a:t>
            </a:r>
          </a:p>
        </rich>
      </tx>
    </title>
    <plotArea>
      <pieChart>
        <varyColors val="1"/>
        <ser>
          <idx val="0"/>
          <order val="0"/>
          <tx>
            <strRef>
              <f>'Gráficas'!B3</f>
            </strRef>
          </tx>
          <spPr>
            <a:ln>
              <a:prstDash val="solid"/>
            </a:ln>
          </spPr>
          <cat>
            <numRef>
              <f>'Gráficas'!$A$4:$A$6</f>
            </numRef>
          </cat>
          <val>
            <numRef>
              <f>'Gráficas'!$B$4:$B$6</f>
            </numRef>
          </val>
        </ser>
        <dLbls>
          <showLegendKey val="0"/>
          <showVal val="0"/>
          <showCatName val="0"/>
          <showSerName val="0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chart>
    <title>
      <tx>
        <rich>
          <a:bodyPr/>
          <a:p>
            <a:pPr>
              <a:defRPr/>
            </a:pPr>
            <a:r>
              <a:t>Importe por insumo (los marcados 'No' no aparecen)</a:t>
            </a:r>
          </a:p>
        </rich>
      </tx>
    </title>
    <plotArea>
      <barChart>
        <barDir val="bar"/>
        <grouping val="clustered"/>
        <ser>
          <idx val="0"/>
          <order val="0"/>
          <tx>
            <strRef>
              <f>'Matriz PU'!I5</f>
            </strRef>
          </tx>
          <spPr>
            <a:ln>
              <a:prstDash val="solid"/>
            </a:ln>
          </spPr>
          <cat>
            <numRef>
              <f>'Matriz PU'!$E$6:$E$32</f>
            </numRef>
          </cat>
          <val>
            <numRef>
              <f>'Matriz PU'!$I$6:$I$32</f>
            </numRef>
          </val>
        </ser>
        <dLbls>
          <showLegendKey val="0"/>
          <showVal val="1"/>
          <showCatName val="0"/>
          <showSerName val="0"/>
        </dLbls>
        <gapWidth val="150"/>
        <axId val="10"/>
        <axId val="100"/>
      </barChart>
      <catAx>
        <axId val="10"/>
        <scaling>
          <orientation val="maxMin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0"/>
        <axPos val="l"/>
        <majorGridlines/>
        <numFmt formatCode="$#,##0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4</col>
      <colOff>0</colOff>
      <row>2</row>
      <rowOff>0</rowOff>
    </from>
    <ext cx="5040000" cy="324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0</col>
      <colOff>0</colOff>
      <row>11</row>
      <rowOff>0</rowOff>
    </from>
    <ext cx="9360000" cy="648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4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17" customWidth="1" min="3" max="3"/>
    <col width="13" customWidth="1" min="4" max="4"/>
    <col width="62" customWidth="1" min="5" max="5"/>
    <col width="8" customWidth="1" min="6" max="6"/>
    <col width="10" customWidth="1" min="7" max="7"/>
    <col width="14" customWidth="1" min="8" max="8"/>
    <col width="15" customWidth="1" min="9" max="9"/>
    <col width="10" customWidth="1" min="10" max="10"/>
    <col width="48" customWidth="1" min="11" max="11"/>
  </cols>
  <sheetData>
    <row r="1">
      <c r="A1" s="1" t="inlineStr">
        <is>
          <t>Matriz de Precios Unitarios – Ingeniería Integral de Estructura Metálica Industrial</t>
        </is>
      </c>
    </row>
    <row r="2">
      <c r="A2" s="2" t="inlineStr">
        <is>
          <t>Código: ING-EST-INT-01 · Unidad: Proyecto · Cantidad: 1.00</t>
        </is>
      </c>
    </row>
    <row r="3" ht="28" customHeight="1">
      <c r="A3" s="3" t="inlineStr">
        <is>
          <t>CÓMO USAR: en la columna A elige Sí/No para incluir o quitar cada insumo. Edita Cantidad y Costo Unitario (texto azul). Filas amarillas = insumos SUGERIDOS (valores estimados, ajustar). Los totales y gráficas se actualizan solos.</t>
        </is>
      </c>
    </row>
    <row r="5" ht="30" customHeight="1">
      <c r="A5" s="4" t="inlineStr">
        <is>
          <t>Incluir</t>
        </is>
      </c>
      <c r="B5" s="4" t="inlineStr">
        <is>
          <t>Origen</t>
        </is>
      </c>
      <c r="C5" s="4" t="inlineStr">
        <is>
          <t>Tipo de Insumo</t>
        </is>
      </c>
      <c r="D5" s="4" t="inlineStr">
        <is>
          <t>Código</t>
        </is>
      </c>
      <c r="E5" s="4" t="inlineStr">
        <is>
          <t>Descripción</t>
        </is>
      </c>
      <c r="F5" s="4" t="inlineStr">
        <is>
          <t>Unidad</t>
        </is>
      </c>
      <c r="G5" s="4" t="inlineStr">
        <is>
          <t>Cantidad</t>
        </is>
      </c>
      <c r="H5" s="4" t="inlineStr">
        <is>
          <t>Costo Unit. ($)</t>
        </is>
      </c>
      <c r="I5" s="4" t="inlineStr">
        <is>
          <t>Importe ($)</t>
        </is>
      </c>
      <c r="J5" s="4" t="inlineStr">
        <is>
          <t>% del CD</t>
        </is>
      </c>
      <c r="K5" s="4" t="inlineStr">
        <is>
          <t>Nota / Justificación</t>
        </is>
      </c>
    </row>
    <row r="6">
      <c r="A6" s="5" t="inlineStr">
        <is>
          <t>Sí</t>
        </is>
      </c>
      <c r="B6" s="6" t="inlineStr">
        <is>
          <t>Base</t>
        </is>
      </c>
      <c r="C6" s="6" t="inlineStr">
        <is>
          <t>Mano de Obra</t>
        </is>
      </c>
      <c r="D6" s="6" t="inlineStr">
        <is>
          <t>MO-PM</t>
        </is>
      </c>
      <c r="E6" s="6" t="inlineStr">
        <is>
          <t>Gerente de Proyecto (coordinación y control)</t>
        </is>
      </c>
      <c r="F6" s="6" t="inlineStr">
        <is>
          <t>H-H</t>
        </is>
      </c>
      <c r="G6" s="7" t="n">
        <v>30</v>
      </c>
      <c r="H6" s="8" t="n">
        <v>467.5</v>
      </c>
      <c r="I6" s="9">
        <f>IF(A6="Sí",G6*H6,0)</f>
        <v/>
      </c>
      <c r="J6" s="10">
        <f>IF($I$33=0,0,I6/$I$33)</f>
        <v/>
      </c>
      <c r="K6" s="11" t="inlineStr"/>
    </row>
    <row r="7">
      <c r="A7" s="5" t="inlineStr">
        <is>
          <t>Sí</t>
        </is>
      </c>
      <c r="B7" s="6" t="inlineStr">
        <is>
          <t>Base</t>
        </is>
      </c>
      <c r="C7" s="6" t="inlineStr">
        <is>
          <t>Mano de Obra</t>
        </is>
      </c>
      <c r="D7" s="6" t="inlineStr">
        <is>
          <t>MO-ING-SR</t>
        </is>
      </c>
      <c r="E7" s="6" t="inlineStr">
        <is>
          <t>Ingeniero Senior (estrategia y modelado global)</t>
        </is>
      </c>
      <c r="F7" s="6" t="inlineStr">
        <is>
          <t>H-H</t>
        </is>
      </c>
      <c r="G7" s="7" t="n">
        <v>60</v>
      </c>
      <c r="H7" s="8" t="n">
        <v>309.38</v>
      </c>
      <c r="I7" s="9">
        <f>IF(A7="Sí",G7*H7,0)</f>
        <v/>
      </c>
      <c r="J7" s="10">
        <f>IF($I$33=0,0,I7/$I$33)</f>
        <v/>
      </c>
      <c r="K7" s="11" t="inlineStr"/>
    </row>
    <row r="8">
      <c r="A8" s="5" t="inlineStr">
        <is>
          <t>Sí</t>
        </is>
      </c>
      <c r="B8" s="6" t="inlineStr">
        <is>
          <t>Base</t>
        </is>
      </c>
      <c r="C8" s="6" t="inlineStr">
        <is>
          <t>Mano de Obra</t>
        </is>
      </c>
      <c r="D8" s="6" t="inlineStr">
        <is>
          <t>MO-ING-CON</t>
        </is>
      </c>
      <c r="E8" s="6" t="inlineStr">
        <is>
          <t>Ing. de Conexiones (diseño de nodos y anclajes)</t>
        </is>
      </c>
      <c r="F8" s="6" t="inlineStr">
        <is>
          <t>H-H</t>
        </is>
      </c>
      <c r="G8" s="7" t="n">
        <v>40</v>
      </c>
      <c r="H8" s="8" t="n">
        <v>280</v>
      </c>
      <c r="I8" s="9">
        <f>IF(A8="Sí",G8*H8,0)</f>
        <v/>
      </c>
      <c r="J8" s="10">
        <f>IF($I$33=0,0,I8/$I$33)</f>
        <v/>
      </c>
      <c r="K8" s="11" t="inlineStr"/>
    </row>
    <row r="9">
      <c r="A9" s="5" t="inlineStr">
        <is>
          <t>Sí</t>
        </is>
      </c>
      <c r="B9" s="6" t="inlineStr">
        <is>
          <t>Base</t>
        </is>
      </c>
      <c r="C9" s="6" t="inlineStr">
        <is>
          <t>Mano de Obra</t>
        </is>
      </c>
      <c r="D9" s="6" t="inlineStr">
        <is>
          <t>MO-PER-EST</t>
        </is>
      </c>
      <c r="E9" s="6" t="inlineStr">
        <is>
          <t>Responsiva de Perito / Corresponsable en Seguridad Estructural</t>
        </is>
      </c>
      <c r="F9" s="6" t="inlineStr">
        <is>
          <t>Evto</t>
        </is>
      </c>
      <c r="G9" s="7" t="n">
        <v>1</v>
      </c>
      <c r="H9" s="8" t="n">
        <v>25000</v>
      </c>
      <c r="I9" s="9">
        <f>IF(A9="Sí",G9*H9,0)</f>
        <v/>
      </c>
      <c r="J9" s="10">
        <f>IF($I$33=0,0,I9/$I$33)</f>
        <v/>
      </c>
      <c r="K9" s="11" t="inlineStr">
        <is>
          <t>Costo fijo por evento; ampara riesgo legal.</t>
        </is>
      </c>
    </row>
    <row r="10">
      <c r="A10" s="5" t="inlineStr">
        <is>
          <t>Sí</t>
        </is>
      </c>
      <c r="B10" s="6" t="inlineStr">
        <is>
          <t>Base</t>
        </is>
      </c>
      <c r="C10" s="6" t="inlineStr">
        <is>
          <t>Mano de Obra</t>
        </is>
      </c>
      <c r="D10" s="6" t="inlineStr">
        <is>
          <t>MO-DET-TK</t>
        </is>
      </c>
      <c r="E10" s="6" t="inlineStr">
        <is>
          <t>Detallador Senior / Modelador Tekla (planos de taller)</t>
        </is>
      </c>
      <c r="F10" s="6" t="inlineStr">
        <is>
          <t>H-H</t>
        </is>
      </c>
      <c r="G10" s="7" t="n">
        <v>160</v>
      </c>
      <c r="H10" s="8" t="n">
        <v>200</v>
      </c>
      <c r="I10" s="9">
        <f>IF(A10="Sí",G10*H10,0)</f>
        <v/>
      </c>
      <c r="J10" s="10">
        <f>IF($I$33=0,0,I10/$I$33)</f>
        <v/>
      </c>
      <c r="K10" s="11" t="inlineStr"/>
    </row>
    <row r="11">
      <c r="A11" s="5" t="inlineStr">
        <is>
          <t>Sí</t>
        </is>
      </c>
      <c r="B11" s="6" t="inlineStr">
        <is>
          <t>Base</t>
        </is>
      </c>
      <c r="C11" s="6" t="inlineStr">
        <is>
          <t>Mano de Obra</t>
        </is>
      </c>
      <c r="D11" s="6" t="inlineStr">
        <is>
          <t>MO-DIB-CAD</t>
        </is>
      </c>
      <c r="E11" s="6" t="inlineStr">
        <is>
          <t>Dibujante / Cadista de apoyo (planos de montaje)</t>
        </is>
      </c>
      <c r="F11" s="6" t="inlineStr">
        <is>
          <t>H-H</t>
        </is>
      </c>
      <c r="G11" s="7" t="n">
        <v>120</v>
      </c>
      <c r="H11" s="8" t="n">
        <v>116.25</v>
      </c>
      <c r="I11" s="9">
        <f>IF(A11="Sí",G11*H11,0)</f>
        <v/>
      </c>
      <c r="J11" s="10">
        <f>IF($I$33=0,0,I11/$I$33)</f>
        <v/>
      </c>
      <c r="K11" s="11" t="inlineStr"/>
    </row>
    <row r="12">
      <c r="A12" s="5" t="inlineStr">
        <is>
          <t>Sí</t>
        </is>
      </c>
      <c r="B12" s="6" t="inlineStr">
        <is>
          <t>Base</t>
        </is>
      </c>
      <c r="C12" s="6" t="inlineStr">
        <is>
          <t>Mano de Obra</t>
        </is>
      </c>
      <c r="D12" s="6" t="inlineStr">
        <is>
          <t>MO-ING-JR</t>
        </is>
      </c>
      <c r="E12" s="6" t="inlineStr">
        <is>
          <t>Ingeniero Junior (cuantificaciones y MTO)</t>
        </is>
      </c>
      <c r="F12" s="6" t="inlineStr">
        <is>
          <t>H-H</t>
        </is>
      </c>
      <c r="G12" s="7" t="n">
        <v>50</v>
      </c>
      <c r="H12" s="8" t="n">
        <v>160</v>
      </c>
      <c r="I12" s="9">
        <f>IF(A12="Sí",G12*H12,0)</f>
        <v/>
      </c>
      <c r="J12" s="10">
        <f>IF($I$33=0,0,I12/$I$33)</f>
        <v/>
      </c>
      <c r="K12" s="11" t="inlineStr"/>
    </row>
    <row r="13">
      <c r="A13" s="12" t="inlineStr">
        <is>
          <t>No</t>
        </is>
      </c>
      <c r="B13" s="13" t="inlineStr">
        <is>
          <t>Sugerido</t>
        </is>
      </c>
      <c r="C13" s="13" t="inlineStr">
        <is>
          <t>Mano de Obra</t>
        </is>
      </c>
      <c r="D13" s="13" t="inlineStr">
        <is>
          <t>MO-ING-CIM</t>
        </is>
      </c>
      <c r="E13" s="13" t="inlineStr">
        <is>
          <t>Ing. de Cimentación y anclaje (placas base, anclas, pedestales)</t>
        </is>
      </c>
      <c r="F13" s="13" t="inlineStr">
        <is>
          <t>H-H</t>
        </is>
      </c>
      <c r="G13" s="14" t="n">
        <v>40</v>
      </c>
      <c r="H13" s="15" t="n">
        <v>280</v>
      </c>
      <c r="I13" s="16">
        <f>IF(A13="Sí",G13*H13,0)</f>
        <v/>
      </c>
      <c r="J13" s="17">
        <f>IF($I$33=0,0,I13/$I$33)</f>
        <v/>
      </c>
      <c r="K13" s="18" t="inlineStr">
        <is>
          <t>Sin esto la estructura no tiene dónde apoyarse; confirmar si lo hace otro proyectista.</t>
        </is>
      </c>
    </row>
    <row r="14">
      <c r="A14" s="12" t="inlineStr">
        <is>
          <t>No</t>
        </is>
      </c>
      <c r="B14" s="13" t="inlineStr">
        <is>
          <t>Sugerido</t>
        </is>
      </c>
      <c r="C14" s="13" t="inlineStr">
        <is>
          <t>Mano de Obra</t>
        </is>
      </c>
      <c r="D14" s="13" t="inlineStr">
        <is>
          <t>MO-REV-IND</t>
        </is>
      </c>
      <c r="E14" s="13" t="inlineStr">
        <is>
          <t>Revisión independiente de memoria de cálculo (peer review)</t>
        </is>
      </c>
      <c r="F14" s="13" t="inlineStr">
        <is>
          <t>H-H</t>
        </is>
      </c>
      <c r="G14" s="14" t="n">
        <v>24</v>
      </c>
      <c r="H14" s="15" t="n">
        <v>309.38</v>
      </c>
      <c r="I14" s="16">
        <f>IF(A14="Sí",G14*H14,0)</f>
        <v/>
      </c>
      <c r="J14" s="17">
        <f>IF($I$33=0,0,I14/$I$33)</f>
        <v/>
      </c>
      <c r="K14" s="18" t="inlineStr">
        <is>
          <t>Muchos peritos/clientes industriales lo exigen; reduce riesgo de errores.</t>
        </is>
      </c>
    </row>
    <row r="15">
      <c r="A15" s="12" t="inlineStr">
        <is>
          <t>No</t>
        </is>
      </c>
      <c r="B15" s="13" t="inlineStr">
        <is>
          <t>Sugerido</t>
        </is>
      </c>
      <c r="C15" s="13" t="inlineStr">
        <is>
          <t>Mano de Obra</t>
        </is>
      </c>
      <c r="D15" s="13" t="inlineStr">
        <is>
          <t>MO-ING-ESP</t>
        </is>
      </c>
      <c r="E15" s="13" t="inlineStr">
        <is>
          <t>Ing. de Especificaciones (soldadura WPS, pintura, tornillería, tolerancias)</t>
        </is>
      </c>
      <c r="F15" s="13" t="inlineStr">
        <is>
          <t>H-H</t>
        </is>
      </c>
      <c r="G15" s="14" t="n">
        <v>20</v>
      </c>
      <c r="H15" s="15" t="n">
        <v>280</v>
      </c>
      <c r="I15" s="16">
        <f>IF(A15="Sí",G15*H15,0)</f>
        <v/>
      </c>
      <c r="J15" s="17">
        <f>IF($I$33=0,0,I15/$I$33)</f>
        <v/>
      </c>
      <c r="K15" s="18" t="inlineStr">
        <is>
          <t>Evita ambigüedades entre ingeniería y taller.</t>
        </is>
      </c>
    </row>
    <row r="16">
      <c r="A16" s="12" t="inlineStr">
        <is>
          <t>No</t>
        </is>
      </c>
      <c r="B16" s="13" t="inlineStr">
        <is>
          <t>Sugerido</t>
        </is>
      </c>
      <c r="C16" s="13" t="inlineStr">
        <is>
          <t>Mano de Obra</t>
        </is>
      </c>
      <c r="D16" s="13" t="inlineStr">
        <is>
          <t>MO-ING-MON</t>
        </is>
      </c>
      <c r="E16" s="13" t="inlineStr">
        <is>
          <t>Ing. de Montaje (secuencia de erección, plan de izaje)</t>
        </is>
      </c>
      <c r="F16" s="13" t="inlineStr">
        <is>
          <t>H-H</t>
        </is>
      </c>
      <c r="G16" s="14" t="n">
        <v>24</v>
      </c>
      <c r="H16" s="15" t="n">
        <v>280</v>
      </c>
      <c r="I16" s="16">
        <f>IF(A16="Sí",G16*H16,0)</f>
        <v/>
      </c>
      <c r="J16" s="17">
        <f>IF($I$33=0,0,I16/$I$33)</f>
        <v/>
      </c>
      <c r="K16" s="18" t="inlineStr">
        <is>
          <t>Útil si el contratista de montaje no lo desarrolla.</t>
        </is>
      </c>
    </row>
    <row r="17">
      <c r="A17" s="12" t="inlineStr">
        <is>
          <t>No</t>
        </is>
      </c>
      <c r="B17" s="13" t="inlineStr">
        <is>
          <t>Sugerido</t>
        </is>
      </c>
      <c r="C17" s="13" t="inlineStr">
        <is>
          <t>Mano de Obra</t>
        </is>
      </c>
      <c r="D17" s="13" t="inlineStr">
        <is>
          <t>MO-COORD</t>
        </is>
      </c>
      <c r="E17" s="13" t="inlineStr">
        <is>
          <t>Coordinación interdisciplinaria (civil, tuberías, eléctrico, interferencias)</t>
        </is>
      </c>
      <c r="F17" s="13" t="inlineStr">
        <is>
          <t>H-H</t>
        </is>
      </c>
      <c r="G17" s="14" t="n">
        <v>24</v>
      </c>
      <c r="H17" s="15" t="n">
        <v>280</v>
      </c>
      <c r="I17" s="16">
        <f>IF(A17="Sí",G17*H17,0)</f>
        <v/>
      </c>
      <c r="J17" s="17">
        <f>IF($I$33=0,0,I17/$I$33)</f>
        <v/>
      </c>
      <c r="K17" s="18" t="inlineStr">
        <is>
          <t>Clash detection en modelo Tekla.</t>
        </is>
      </c>
    </row>
    <row r="18">
      <c r="A18" s="12" t="inlineStr">
        <is>
          <t>No</t>
        </is>
      </c>
      <c r="B18" s="13" t="inlineStr">
        <is>
          <t>Sugerido</t>
        </is>
      </c>
      <c r="C18" s="13" t="inlineStr">
        <is>
          <t>Mano de Obra</t>
        </is>
      </c>
      <c r="D18" s="13" t="inlineStr">
        <is>
          <t>MO-QA</t>
        </is>
      </c>
      <c r="E18" s="13" t="inlineStr">
        <is>
          <t>Control de calidad documental (revisión cruzada de planos y MTO)</t>
        </is>
      </c>
      <c r="F18" s="13" t="inlineStr">
        <is>
          <t>H-H</t>
        </is>
      </c>
      <c r="G18" s="14" t="n">
        <v>30</v>
      </c>
      <c r="H18" s="15" t="n">
        <v>200</v>
      </c>
      <c r="I18" s="16">
        <f>IF(A18="Sí",G18*H18,0)</f>
        <v/>
      </c>
      <c r="J18" s="17">
        <f>IF($I$33=0,0,I18/$I$33)</f>
        <v/>
      </c>
      <c r="K18" s="18" t="inlineStr">
        <is>
          <t>Detectar errores antes de enviar a fabricación.</t>
        </is>
      </c>
    </row>
    <row r="19">
      <c r="A19" s="12" t="inlineStr">
        <is>
          <t>No</t>
        </is>
      </c>
      <c r="B19" s="13" t="inlineStr">
        <is>
          <t>Sugerido</t>
        </is>
      </c>
      <c r="C19" s="13" t="inlineStr">
        <is>
          <t>Mano de Obra</t>
        </is>
      </c>
      <c r="D19" s="13" t="inlineStr">
        <is>
          <t>MO-REV-CLI</t>
        </is>
      </c>
      <c r="E19" s="13" t="inlineStr">
        <is>
          <t>Ciclos de revisión / comentarios del cliente (retrabajo)</t>
        </is>
      </c>
      <c r="F19" s="13" t="inlineStr">
        <is>
          <t>H-H</t>
        </is>
      </c>
      <c r="G19" s="14" t="n">
        <v>40</v>
      </c>
      <c r="H19" s="15" t="n">
        <v>200</v>
      </c>
      <c r="I19" s="16">
        <f>IF(A19="Sí",G19*H19,0)</f>
        <v/>
      </c>
      <c r="J19" s="17">
        <f>IF($I$33=0,0,I19/$I$33)</f>
        <v/>
      </c>
      <c r="K19" s="18" t="inlineStr">
        <is>
          <t>Casi siempre ocurre; evita pérdida de margen.</t>
        </is>
      </c>
    </row>
    <row r="20">
      <c r="A20" s="12" t="inlineStr">
        <is>
          <t>No</t>
        </is>
      </c>
      <c r="B20" s="13" t="inlineStr">
        <is>
          <t>Sugerido</t>
        </is>
      </c>
      <c r="C20" s="13" t="inlineStr">
        <is>
          <t>Mano de Obra</t>
        </is>
      </c>
      <c r="D20" s="13" t="inlineStr">
        <is>
          <t>MO-ING-SIS</t>
        </is>
      </c>
      <c r="E20" s="13" t="inlineStr">
        <is>
          <t>Parámetros de sitio: viento, sismo, cargas de proceso (Ing. Senior)</t>
        </is>
      </c>
      <c r="F20" s="13" t="inlineStr">
        <is>
          <t>H-H</t>
        </is>
      </c>
      <c r="G20" s="14" t="n">
        <v>16</v>
      </c>
      <c r="H20" s="15" t="n">
        <v>309.38</v>
      </c>
      <c r="I20" s="16">
        <f>IF(A20="Sí",G20*H20,0)</f>
        <v/>
      </c>
      <c r="J20" s="17">
        <f>IF($I$33=0,0,I20/$I$33)</f>
        <v/>
      </c>
      <c r="K20" s="18" t="inlineStr">
        <is>
          <t>Bases de diseño documentadas.</t>
        </is>
      </c>
    </row>
    <row r="21">
      <c r="A21" s="12" t="inlineStr">
        <is>
          <t>No</t>
        </is>
      </c>
      <c r="B21" s="13" t="inlineStr">
        <is>
          <t>Sugerido</t>
        </is>
      </c>
      <c r="C21" s="13" t="inlineStr">
        <is>
          <t>Mano de Obra</t>
        </is>
      </c>
      <c r="D21" s="13" t="inlineStr">
        <is>
          <t>MO-DOC</t>
        </is>
      </c>
      <c r="E21" s="13" t="inlineStr">
        <is>
          <t>Control documental / transmittals / administración</t>
        </is>
      </c>
      <c r="F21" s="13" t="inlineStr">
        <is>
          <t>H-H</t>
        </is>
      </c>
      <c r="G21" s="14" t="n">
        <v>20</v>
      </c>
      <c r="H21" s="15" t="n">
        <v>100</v>
      </c>
      <c r="I21" s="16">
        <f>IF(A21="Sí",G21*H21,0)</f>
        <v/>
      </c>
      <c r="J21" s="17">
        <f>IF($I$33=0,0,I21/$I$33)</f>
        <v/>
      </c>
      <c r="K21" s="18" t="inlineStr">
        <is>
          <t>Emisión, revisiones y bitácora de planos.</t>
        </is>
      </c>
    </row>
    <row r="22">
      <c r="A22" s="5" t="inlineStr">
        <is>
          <t>Sí</t>
        </is>
      </c>
      <c r="B22" s="6" t="inlineStr">
        <is>
          <t>Base</t>
        </is>
      </c>
      <c r="C22" s="6" t="inlineStr">
        <is>
          <t>Herramienta</t>
        </is>
      </c>
      <c r="D22" s="6" t="inlineStr">
        <is>
          <t>EQ-SW-ANL</t>
        </is>
      </c>
      <c r="E22" s="6" t="inlineStr">
        <is>
          <t>Software de Análisis Global (SAP2000 / STAAD)</t>
        </is>
      </c>
      <c r="F22" s="6" t="inlineStr">
        <is>
          <t>Hora</t>
        </is>
      </c>
      <c r="G22" s="7" t="n">
        <v>100</v>
      </c>
      <c r="H22" s="8" t="n">
        <v>25</v>
      </c>
      <c r="I22" s="9">
        <f>IF(A22="Sí",G22*H22,0)</f>
        <v/>
      </c>
      <c r="J22" s="10">
        <f>IF($I$33=0,0,I22/$I$33)</f>
        <v/>
      </c>
      <c r="K22" s="11" t="inlineStr"/>
    </row>
    <row r="23">
      <c r="A23" s="5" t="inlineStr">
        <is>
          <t>Sí</t>
        </is>
      </c>
      <c r="B23" s="6" t="inlineStr">
        <is>
          <t>Base</t>
        </is>
      </c>
      <c r="C23" s="6" t="inlineStr">
        <is>
          <t>Herramienta</t>
        </is>
      </c>
      <c r="D23" s="6" t="inlineStr">
        <is>
          <t>EQ-SW-BIM</t>
        </is>
      </c>
      <c r="E23" s="6" t="inlineStr">
        <is>
          <t>Software de Detallado Estructural (Tekla Structures)</t>
        </is>
      </c>
      <c r="F23" s="6" t="inlineStr">
        <is>
          <t>Hora</t>
        </is>
      </c>
      <c r="G23" s="7" t="n">
        <v>160</v>
      </c>
      <c r="H23" s="8" t="n">
        <v>45</v>
      </c>
      <c r="I23" s="9">
        <f>IF(A23="Sí",G23*H23,0)</f>
        <v/>
      </c>
      <c r="J23" s="10">
        <f>IF($I$33=0,0,I23/$I$33)</f>
        <v/>
      </c>
      <c r="K23" s="11" t="inlineStr"/>
    </row>
    <row r="24">
      <c r="A24" s="5" t="inlineStr">
        <is>
          <t>Sí</t>
        </is>
      </c>
      <c r="B24" s="6" t="inlineStr">
        <is>
          <t>Base</t>
        </is>
      </c>
      <c r="C24" s="6" t="inlineStr">
        <is>
          <t>Herramienta</t>
        </is>
      </c>
      <c r="D24" s="6" t="inlineStr">
        <is>
          <t>EQ-SW-CAD</t>
        </is>
      </c>
      <c r="E24" s="6" t="inlineStr">
        <is>
          <t>Software de Dibujo General (AutoCAD)</t>
        </is>
      </c>
      <c r="F24" s="6" t="inlineStr">
        <is>
          <t>Hora</t>
        </is>
      </c>
      <c r="G24" s="7" t="n">
        <v>120</v>
      </c>
      <c r="H24" s="8" t="n">
        <v>13.75</v>
      </c>
      <c r="I24" s="9">
        <f>IF(A24="Sí",G24*H24,0)</f>
        <v/>
      </c>
      <c r="J24" s="10">
        <f>IF($I$33=0,0,I24/$I$33)</f>
        <v/>
      </c>
      <c r="K24" s="11" t="inlineStr"/>
    </row>
    <row r="25">
      <c r="A25" s="12" t="inlineStr">
        <is>
          <t>No</t>
        </is>
      </c>
      <c r="B25" s="13" t="inlineStr">
        <is>
          <t>Sugerido</t>
        </is>
      </c>
      <c r="C25" s="13" t="inlineStr">
        <is>
          <t>Herramienta</t>
        </is>
      </c>
      <c r="D25" s="13" t="inlineStr">
        <is>
          <t>EQ-SW-CON</t>
        </is>
      </c>
      <c r="E25" s="13" t="inlineStr">
        <is>
          <t>Software de conexiones (IDEA StatiCa / RAM Connection)</t>
        </is>
      </c>
      <c r="F25" s="13" t="inlineStr">
        <is>
          <t>Hora</t>
        </is>
      </c>
      <c r="G25" s="14" t="n">
        <v>40</v>
      </c>
      <c r="H25" s="15" t="n">
        <v>60</v>
      </c>
      <c r="I25" s="16">
        <f>IF(A25="Sí",G25*H25,0)</f>
        <v/>
      </c>
      <c r="J25" s="17">
        <f>IF($I$33=0,0,I25/$I$33)</f>
        <v/>
      </c>
      <c r="K25" s="18" t="inlineStr">
        <is>
          <t>Respalda el diseño analítico de nodos críticos.</t>
        </is>
      </c>
    </row>
    <row r="26">
      <c r="A26" s="12" t="inlineStr">
        <is>
          <t>No</t>
        </is>
      </c>
      <c r="B26" s="13" t="inlineStr">
        <is>
          <t>Sugerido</t>
        </is>
      </c>
      <c r="C26" s="13" t="inlineStr">
        <is>
          <t>Herramienta</t>
        </is>
      </c>
      <c r="D26" s="13" t="inlineStr">
        <is>
          <t>EQ-SW-FUN</t>
        </is>
      </c>
      <c r="E26" s="13" t="inlineStr">
        <is>
          <t>Software de cimentación (SAFE / similar)</t>
        </is>
      </c>
      <c r="F26" s="13" t="inlineStr">
        <is>
          <t>Hora</t>
        </is>
      </c>
      <c r="G26" s="14" t="n">
        <v>20</v>
      </c>
      <c r="H26" s="15" t="n">
        <v>25</v>
      </c>
      <c r="I26" s="16">
        <f>IF(A26="Sí",G26*H26,0)</f>
        <v/>
      </c>
      <c r="J26" s="17">
        <f>IF($I$33=0,0,I26/$I$33)</f>
        <v/>
      </c>
      <c r="K26" s="18" t="inlineStr">
        <is>
          <t>Solo si se incluye cimentación.</t>
        </is>
      </c>
    </row>
    <row r="27">
      <c r="A27" s="12" t="inlineStr">
        <is>
          <t>No</t>
        </is>
      </c>
      <c r="B27" s="13" t="inlineStr">
        <is>
          <t>Sugerido</t>
        </is>
      </c>
      <c r="C27" s="13" t="inlineStr">
        <is>
          <t>Herramienta</t>
        </is>
      </c>
      <c r="D27" s="13" t="inlineStr">
        <is>
          <t>EQ-PLT</t>
        </is>
      </c>
      <c r="E27" s="13" t="inlineStr">
        <is>
          <t>Impresión y plotteo de juegos de planos</t>
        </is>
      </c>
      <c r="F27" s="13" t="inlineStr">
        <is>
          <t>Juego</t>
        </is>
      </c>
      <c r="G27" s="14" t="n">
        <v>3</v>
      </c>
      <c r="H27" s="15" t="n">
        <v>1500</v>
      </c>
      <c r="I27" s="16">
        <f>IF(A27="Sí",G27*H27,0)</f>
        <v/>
      </c>
      <c r="J27" s="17">
        <f>IF($I$33=0,0,I27/$I$33)</f>
        <v/>
      </c>
      <c r="K27" s="18" t="inlineStr">
        <is>
          <t>Copias para perito, cliente y obra.</t>
        </is>
      </c>
    </row>
    <row r="28">
      <c r="A28" s="12" t="inlineStr">
        <is>
          <t>No</t>
        </is>
      </c>
      <c r="B28" s="13" t="inlineStr">
        <is>
          <t>Sugerido</t>
        </is>
      </c>
      <c r="C28" s="13" t="inlineStr">
        <is>
          <t>Otros / Terceros</t>
        </is>
      </c>
      <c r="D28" s="13" t="inlineStr">
        <is>
          <t>OT-GEO</t>
        </is>
      </c>
      <c r="E28" s="13" t="inlineStr">
        <is>
          <t>Estudio de mecánica de suelos (dato de entrada, si no existe)</t>
        </is>
      </c>
      <c r="F28" s="13" t="inlineStr">
        <is>
          <t>Evto</t>
        </is>
      </c>
      <c r="G28" s="14" t="n">
        <v>1</v>
      </c>
      <c r="H28" s="15" t="n">
        <v>35000</v>
      </c>
      <c r="I28" s="16">
        <f>IF(A28="Sí",G28*H28,0)</f>
        <v/>
      </c>
      <c r="J28" s="17">
        <f>IF($I$33=0,0,I28/$I$33)</f>
        <v/>
      </c>
      <c r="K28" s="18" t="inlineStr">
        <is>
          <t>Normalmente lo contrata el cliente; dejar en No si ya existe.</t>
        </is>
      </c>
    </row>
    <row r="29">
      <c r="A29" s="12" t="inlineStr">
        <is>
          <t>No</t>
        </is>
      </c>
      <c r="B29" s="13" t="inlineStr">
        <is>
          <t>Sugerido</t>
        </is>
      </c>
      <c r="C29" s="13" t="inlineStr">
        <is>
          <t>Otros / Terceros</t>
        </is>
      </c>
      <c r="D29" s="13" t="inlineStr">
        <is>
          <t>OT-VIS</t>
        </is>
      </c>
      <c r="E29" s="13" t="inlineStr">
        <is>
          <t>Visita de sitio / levantamiento y viáticos</t>
        </is>
      </c>
      <c r="F29" s="13" t="inlineStr">
        <is>
          <t>Evto</t>
        </is>
      </c>
      <c r="G29" s="14" t="n">
        <v>1</v>
      </c>
      <c r="H29" s="15" t="n">
        <v>8000</v>
      </c>
      <c r="I29" s="16">
        <f>IF(A29="Sí",G29*H29,0)</f>
        <v/>
      </c>
      <c r="J29" s="17">
        <f>IF($I$33=0,0,I29/$I$33)</f>
        <v/>
      </c>
      <c r="K29" s="18" t="inlineStr">
        <is>
          <t>Verificar existentes y condiciones de montaje.</t>
        </is>
      </c>
    </row>
    <row r="30">
      <c r="A30" s="12" t="inlineStr">
        <is>
          <t>No</t>
        </is>
      </c>
      <c r="B30" s="13" t="inlineStr">
        <is>
          <t>Sugerido</t>
        </is>
      </c>
      <c r="C30" s="13" t="inlineStr">
        <is>
          <t>Otros / Terceros</t>
        </is>
      </c>
      <c r="D30" s="13" t="inlineStr">
        <is>
          <t>OT-TRAM</t>
        </is>
      </c>
      <c r="E30" s="13" t="inlineStr">
        <is>
          <t>Trámites: DRO, registro de responsiva, licencias</t>
        </is>
      </c>
      <c r="F30" s="13" t="inlineStr">
        <is>
          <t>Evto</t>
        </is>
      </c>
      <c r="G30" s="14" t="n">
        <v>1</v>
      </c>
      <c r="H30" s="15" t="n">
        <v>6000</v>
      </c>
      <c r="I30" s="16">
        <f>IF(A30="Sí",G30*H30,0)</f>
        <v/>
      </c>
      <c r="J30" s="17">
        <f>IF($I$33=0,0,I30/$I$33)</f>
        <v/>
      </c>
      <c r="K30" s="18" t="inlineStr">
        <is>
          <t>Depende de la normativa local.</t>
        </is>
      </c>
    </row>
    <row r="31">
      <c r="A31" s="12" t="inlineStr">
        <is>
          <t>No</t>
        </is>
      </c>
      <c r="B31" s="13" t="inlineStr">
        <is>
          <t>Sugerido</t>
        </is>
      </c>
      <c r="C31" s="13" t="inlineStr">
        <is>
          <t>Otros / Terceros</t>
        </is>
      </c>
      <c r="D31" s="13" t="inlineStr">
        <is>
          <t>OT-SEG</t>
        </is>
      </c>
      <c r="E31" s="13" t="inlineStr">
        <is>
          <t>Seguro de responsabilidad civil profesional (prorrata)</t>
        </is>
      </c>
      <c r="F31" s="13" t="inlineStr">
        <is>
          <t>Evto</t>
        </is>
      </c>
      <c r="G31" s="14" t="n">
        <v>1</v>
      </c>
      <c r="H31" s="15" t="n">
        <v>4000</v>
      </c>
      <c r="I31" s="16">
        <f>IF(A31="Sí",G31*H31,0)</f>
        <v/>
      </c>
      <c r="J31" s="17">
        <f>IF($I$33=0,0,I31/$I$33)</f>
        <v/>
      </c>
      <c r="K31" s="18" t="inlineStr">
        <is>
          <t>Estimado; ajustar a póliza real.</t>
        </is>
      </c>
    </row>
    <row r="32">
      <c r="A32" s="12" t="inlineStr">
        <is>
          <t>No</t>
        </is>
      </c>
      <c r="B32" s="13" t="inlineStr">
        <is>
          <t>Sugerido</t>
        </is>
      </c>
      <c r="C32" s="13" t="inlineStr">
        <is>
          <t>Otros / Terceros</t>
        </is>
      </c>
      <c r="D32" s="13" t="inlineStr">
        <is>
          <t>OT-CONT</t>
        </is>
      </c>
      <c r="E32" s="13" t="inlineStr">
        <is>
          <t>Contingencia técnica (cambios de alcance menores)</t>
        </is>
      </c>
      <c r="F32" s="13" t="inlineStr">
        <is>
          <t>Evto</t>
        </is>
      </c>
      <c r="G32" s="14" t="n">
        <v>1</v>
      </c>
      <c r="H32" s="15" t="n">
        <v>5000</v>
      </c>
      <c r="I32" s="16">
        <f>IF(A32="Sí",G32*H32,0)</f>
        <v/>
      </c>
      <c r="J32" s="17">
        <f>IF($I$33=0,0,I32/$I$33)</f>
        <v/>
      </c>
      <c r="K32" s="18" t="inlineStr">
        <is>
          <t>Alternativa: cubrirla en indirectos.</t>
        </is>
      </c>
    </row>
    <row r="33">
      <c r="A33" s="19" t="n"/>
      <c r="B33" s="19" t="n"/>
      <c r="C33" s="19" t="n"/>
      <c r="D33" s="19" t="n"/>
      <c r="E33" s="19" t="inlineStr">
        <is>
          <t>TOTAL COSTO DIRECTO</t>
        </is>
      </c>
      <c r="F33" s="19" t="n"/>
      <c r="G33" s="19" t="n"/>
      <c r="H33" s="19" t="n"/>
      <c r="I33" s="20">
        <f>SUM(I6:I32)</f>
        <v/>
      </c>
      <c r="J33" s="21">
        <f>SUM(J6:J32)</f>
        <v/>
      </c>
      <c r="K33" s="19" t="n"/>
    </row>
    <row r="35">
      <c r="E35" s="22" t="inlineStr">
        <is>
          <t>PIE DE TARJETA (sobrecostos en cascada, sin IVA)</t>
        </is>
      </c>
      <c r="H35" s="23" t="inlineStr">
        <is>
          <t>Porcentaje</t>
        </is>
      </c>
      <c r="I35" s="23" t="inlineStr">
        <is>
          <t>Importe ($)</t>
        </is>
      </c>
    </row>
    <row r="36">
      <c r="E36" s="24" t="inlineStr">
        <is>
          <t>Total costo directo</t>
        </is>
      </c>
      <c r="H36" s="25" t="n"/>
      <c r="I36" s="26">
        <f>I33</f>
        <v/>
      </c>
    </row>
    <row r="37">
      <c r="E37" s="6" t="inlineStr">
        <is>
          <t>(+) Indirectos de oficina central y campo</t>
        </is>
      </c>
      <c r="H37" s="27" t="n">
        <v>0.12</v>
      </c>
      <c r="I37" s="28">
        <f>I36*H37</f>
        <v/>
      </c>
    </row>
    <row r="38">
      <c r="E38" s="24" t="inlineStr">
        <is>
          <t>Subtotal (CD + indirectos)</t>
        </is>
      </c>
      <c r="H38" s="25" t="n"/>
      <c r="I38" s="26">
        <f>I36+I37</f>
        <v/>
      </c>
    </row>
    <row r="39">
      <c r="E39" s="6" t="inlineStr">
        <is>
          <t>(+) Costo por financiamiento</t>
        </is>
      </c>
      <c r="H39" s="27" t="n">
        <v>0.02</v>
      </c>
      <c r="I39" s="28">
        <f>I38*H39</f>
        <v/>
      </c>
    </row>
    <row r="40">
      <c r="E40" s="24" t="inlineStr">
        <is>
          <t>Subtotal base para utilidad</t>
        </is>
      </c>
      <c r="H40" s="25" t="n"/>
      <c r="I40" s="26">
        <f>I38+I39</f>
        <v/>
      </c>
    </row>
    <row r="41">
      <c r="E41" s="6" t="inlineStr">
        <is>
          <t>(+) Utilidad neta de la empresa</t>
        </is>
      </c>
      <c r="H41" s="27" t="n">
        <v>0.1</v>
      </c>
      <c r="I41" s="28">
        <f>I40*H41</f>
        <v/>
      </c>
    </row>
    <row r="42">
      <c r="E42" s="29" t="inlineStr">
        <is>
          <t>PRECIO UNITARIO FINAL (SIN IVA)</t>
        </is>
      </c>
      <c r="H42" s="29" t="n"/>
      <c r="I42" s="30">
        <f>I40+I41</f>
        <v/>
      </c>
    </row>
    <row r="44">
      <c r="E44" s="31" t="inlineStr">
        <is>
          <t>Notas: porcentajes (celdas amarillas) tomados de la matriz original del usuario; el IVA se aplica solo en el total del presupuesto. Los insumos 'Sugerido' son estimaciones de referencia, no cotizaciones.</t>
        </is>
      </c>
    </row>
  </sheetData>
  <mergeCells count="1">
    <mergeCell ref="A3:K3"/>
  </mergeCells>
  <conditionalFormatting sqref="A6:K32">
    <cfRule type="expression" priority="1" dxfId="0">
      <formula>$A6="No"</formula>
    </cfRule>
  </conditionalFormatting>
  <dataValidations count="1">
    <dataValidation sqref="A6:A32" showDropDown="0" showInputMessage="0" showErrorMessage="0" allowBlank="0" type="list">
      <formula1>"Sí,No"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cols>
    <col width="34" customWidth="1" min="1" max="1"/>
    <col width="18" customWidth="1" min="2" max="2"/>
    <col width="10" customWidth="1" min="3" max="3"/>
  </cols>
  <sheetData>
    <row r="1">
      <c r="A1" s="32" t="inlineStr">
        <is>
          <t>Distribución del costo directo (se actualiza con la columna Incluir)</t>
        </is>
      </c>
    </row>
    <row r="3">
      <c r="A3" s="33" t="inlineStr">
        <is>
          <t>Tipo de insumo</t>
        </is>
      </c>
      <c r="B3" s="33" t="inlineStr">
        <is>
          <t>Importe ($)</t>
        </is>
      </c>
      <c r="C3" s="33" t="inlineStr">
        <is>
          <t>%</t>
        </is>
      </c>
    </row>
    <row r="4">
      <c r="A4" s="34" t="inlineStr">
        <is>
          <t>Mano de Obra</t>
        </is>
      </c>
      <c r="B4" s="35">
        <f>SUMIFS('Matriz PU'!$I$6:$I$32,'Matriz PU'!$C$6:$C$32,A4)</f>
        <v/>
      </c>
      <c r="C4" s="36">
        <f>IF($B$7=0,0,B4/$B$7)</f>
        <v/>
      </c>
    </row>
    <row r="5">
      <c r="A5" s="34" t="inlineStr">
        <is>
          <t>Herramienta</t>
        </is>
      </c>
      <c r="B5" s="35">
        <f>SUMIFS('Matriz PU'!$I$6:$I$32,'Matriz PU'!$C$6:$C$32,A5)</f>
        <v/>
      </c>
      <c r="C5" s="36">
        <f>IF($B$7=0,0,B5/$B$7)</f>
        <v/>
      </c>
    </row>
    <row r="6">
      <c r="A6" s="34" t="inlineStr">
        <is>
          <t>Otros / Terceros</t>
        </is>
      </c>
      <c r="B6" s="35">
        <f>SUMIFS('Matriz PU'!$I$6:$I$32,'Matriz PU'!$C$6:$C$32,A6)</f>
        <v/>
      </c>
      <c r="C6" s="36">
        <f>IF($B$7=0,0,B6/$B$7)</f>
        <v/>
      </c>
    </row>
    <row r="7">
      <c r="A7" s="37" t="inlineStr">
        <is>
          <t>Total costo directo</t>
        </is>
      </c>
      <c r="B7" s="38">
        <f>SUM(B4:B6)</f>
        <v/>
      </c>
      <c r="C7" s="39">
        <f>SUM(C4:C6)</f>
        <v/>
      </c>
    </row>
    <row r="8">
      <c r="A8" s="23" t="inlineStr">
        <is>
          <t>Precio unitario final (sin IVA)</t>
        </is>
      </c>
      <c r="B8" s="40">
        <f>'Matriz PU'!I42</f>
        <v/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2026-10-01T13:24:59Z</dcterms:created>
  <dcterms:modified xsi:type="dcterms:W3CDTF">2026-10-01T13:24:59Z</dcterms:modified>
</cp:coreProperties>
</file>