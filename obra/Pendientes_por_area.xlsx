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endientes" sheetId="2" state="visible" r:id="rId2"/>
  </sheets>
  <definedNames>
    <definedName name="_xlnm._FilterDatabase" localSheetId="1" hidden="1">'Pendientes'!$A$4:$I$28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</font>
    <font>
      <name val="Arial"/>
      <b val="1"/>
      <color rgb="00FFFFFF"/>
    </font>
    <font>
      <name val="Arial"/>
      <color rgb="000000FF"/>
    </font>
    <font>
      <name val="Arial"/>
    </font>
    <font>
      <name val="Arial"/>
      <b val="1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9" fontId="5" fillId="0" borderId="1" pivotButton="0" quotePrefix="0" xfId="0"/>
    <xf numFmtId="0" fontId="6" fillId="4" borderId="1" pivotButton="0" quotePrefix="0" xfId="0"/>
    <xf numFmtId="9" fontId="6" fillId="4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9" fontId="4" fillId="3" borderId="1" pivotButton="0" quotePrefix="0" xfId="0"/>
    <xf numFmtId="0" fontId="5" fillId="0" borderId="1" pivotButton="0" quotePrefix="0" xfId="0"/>
    <xf numFmtId="164" fontId="4" fillId="0" borderId="1" pivotButton="0" quotePrefix="0" xfId="0"/>
    <xf numFmtId="9" fontId="4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Resumen</author>
  </authors>
  <commentList>
    <comment ref="D5" authorId="0" shapeId="0">
      <text>
        <t>Celdas amarillas: lectura dudosa de la nota manuscrita. Verificar.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1" t="inlineStr">
        <is>
          <t>Resumen de pendientes por área</t>
        </is>
      </c>
    </row>
    <row r="2">
      <c r="A2" s="2" t="inlineStr">
        <is>
          <t>Avance promedio = promedio simple de las actividades (todas pesan igual).</t>
        </is>
      </c>
    </row>
    <row r="4">
      <c r="A4" s="3" t="inlineStr">
        <is>
          <t>Área</t>
        </is>
      </c>
      <c r="B4" s="3" t="inlineStr">
        <is>
          <t>Actividades</t>
        </is>
      </c>
      <c r="C4" s="3" t="inlineStr">
        <is>
          <t>Terminadas</t>
        </is>
      </c>
      <c r="D4" s="3" t="inlineStr">
        <is>
          <t>En proceso</t>
        </is>
      </c>
      <c r="E4" s="3" t="inlineStr">
        <is>
          <t>Sin iniciar</t>
        </is>
      </c>
      <c r="F4" s="3" t="inlineStr">
        <is>
          <t>Avance promedio</t>
        </is>
      </c>
      <c r="G4" s="3" t="inlineStr">
        <is>
          <t>Falta promedio</t>
        </is>
      </c>
    </row>
    <row r="5">
      <c r="A5" s="4" t="inlineStr">
        <is>
          <t>Trampas</t>
        </is>
      </c>
      <c r="B5" s="5">
        <f>COUNTIFS(Pendientes!$A$5:$A$68,A5,Pendientes!$D$5:$D$68,"&lt;&gt;")</f>
        <v/>
      </c>
      <c r="C5" s="5">
        <f>COUNTIFS(Pendientes!$A$5:$A$68,A5,Pendientes!$F$5:$F$68,"Terminada")</f>
        <v/>
      </c>
      <c r="D5" s="5">
        <f>COUNTIFS(Pendientes!$A$5:$A$68,A5,Pendientes!$F$5:$F$68,"En proceso")</f>
        <v/>
      </c>
      <c r="E5" s="5">
        <f>COUNTIFS(Pendientes!$A$5:$A$68,A5,Pendientes!$F$5:$F$68,"Sin iniciar")</f>
        <v/>
      </c>
      <c r="F5" s="6">
        <f>IF(B5=0,0,SUMIFS(Pendientes!$E$5:$E$68,Pendientes!$A$5:$A$68,A5)/B5)</f>
        <v/>
      </c>
      <c r="G5" s="6">
        <f>1-F5</f>
        <v/>
      </c>
    </row>
    <row r="6">
      <c r="A6" s="4" t="inlineStr">
        <is>
          <t>Esferas 301 A y B</t>
        </is>
      </c>
      <c r="B6" s="5">
        <f>COUNTIFS(Pendientes!$A$5:$A$68,A6,Pendientes!$D$5:$D$68,"&lt;&gt;")</f>
        <v/>
      </c>
      <c r="C6" s="5">
        <f>COUNTIFS(Pendientes!$A$5:$A$68,A6,Pendientes!$F$5:$F$68,"Terminada")</f>
        <v/>
      </c>
      <c r="D6" s="5">
        <f>COUNTIFS(Pendientes!$A$5:$A$68,A6,Pendientes!$F$5:$F$68,"En proceso")</f>
        <v/>
      </c>
      <c r="E6" s="5">
        <f>COUNTIFS(Pendientes!$A$5:$A$68,A6,Pendientes!$F$5:$F$68,"Sin iniciar")</f>
        <v/>
      </c>
      <c r="F6" s="6">
        <f>IF(B6=0,0,SUMIFS(Pendientes!$E$5:$E$68,Pendientes!$A$5:$A$68,A6)/B6)</f>
        <v/>
      </c>
      <c r="G6" s="6">
        <f>1-F6</f>
        <v/>
      </c>
    </row>
    <row r="7">
      <c r="A7" s="4" t="inlineStr">
        <is>
          <t>TU-45</t>
        </is>
      </c>
      <c r="B7" s="5">
        <f>COUNTIFS(Pendientes!$A$5:$A$68,A7,Pendientes!$D$5:$D$68,"&lt;&gt;")</f>
        <v/>
      </c>
      <c r="C7" s="5">
        <f>COUNTIFS(Pendientes!$A$5:$A$68,A7,Pendientes!$F$5:$F$68,"Terminada")</f>
        <v/>
      </c>
      <c r="D7" s="5">
        <f>COUNTIFS(Pendientes!$A$5:$A$68,A7,Pendientes!$F$5:$F$68,"En proceso")</f>
        <v/>
      </c>
      <c r="E7" s="5">
        <f>COUNTIFS(Pendientes!$A$5:$A$68,A7,Pendientes!$F$5:$F$68,"Sin iniciar")</f>
        <v/>
      </c>
      <c r="F7" s="6">
        <f>IF(B7=0,0,SUMIFS(Pendientes!$E$5:$E$68,Pendientes!$A$5:$A$68,A7)/B7)</f>
        <v/>
      </c>
      <c r="G7" s="6">
        <f>1-F7</f>
        <v/>
      </c>
    </row>
    <row r="8">
      <c r="A8" s="7" t="inlineStr">
        <is>
          <t>TOTAL</t>
        </is>
      </c>
      <c r="B8" s="7">
        <f>SUM(B5:B7)</f>
        <v/>
      </c>
      <c r="C8" s="7">
        <f>SUM(C5:C7)</f>
        <v/>
      </c>
      <c r="D8" s="7">
        <f>SUM(D5:D7)</f>
        <v/>
      </c>
      <c r="E8" s="7">
        <f>SUM(E5:E7)</f>
        <v/>
      </c>
      <c r="F8" s="8">
        <f>IF(B8=0,0,SUM(Pendientes!$E$5:$E$68)/B8)</f>
        <v/>
      </c>
      <c r="G8" s="8">
        <f>1-F8</f>
        <v/>
      </c>
    </row>
    <row r="10">
      <c r="A10" s="9" t="inlineStr">
        <is>
          <t>Cómo usar</t>
        </is>
      </c>
    </row>
    <row r="11">
      <c r="A11" s="10" t="inlineStr">
        <is>
          <t>1. Actualiza solo la columna '% Falta' en la hoja Pendientes (0% = terminada, 100% = sin iniciar).</t>
        </is>
      </c>
    </row>
    <row r="12">
      <c r="A12" s="10" t="inlineStr">
        <is>
          <t>2. Agrega actividades nuevas debajo de la lista, con el nombre del área escrito igual que aquí.</t>
        </is>
      </c>
    </row>
    <row r="13">
      <c r="A13" s="10" t="inlineStr">
        <is>
          <t>3. Este resumen se recalcula solo. Usa el filtro de la hoja Pendientes para ver por área o estado.</t>
        </is>
      </c>
    </row>
    <row r="14">
      <c r="A14" s="10" t="inlineStr">
        <is>
          <t>4. Celdas amarillas: lectura dudosa de la nota manuscrita; verificar contra la nota original.</t>
        </is>
      </c>
    </row>
  </sheetData>
  <conditionalFormatting sqref="F5:F8">
    <cfRule type="dataBar" priority="1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50" customWidth="1" min="3" max="3"/>
    <col width="10" customWidth="1" min="4" max="4"/>
    <col width="10" customWidth="1" min="5" max="5"/>
    <col width="14" customWidth="1" min="6" max="6"/>
    <col width="18" customWidth="1" min="7" max="7"/>
    <col width="16" customWidth="1" min="8" max="8"/>
    <col width="60" customWidth="1" min="9" max="9"/>
  </cols>
  <sheetData>
    <row r="1">
      <c r="A1" s="1" t="inlineStr">
        <is>
          <t>Pendientes por área</t>
        </is>
      </c>
    </row>
    <row r="2">
      <c r="A2" s="2" t="inlineStr">
        <is>
          <t>Fuente: notas manuscritas de campo. Columna '% Falta' tal como viene en la nota. Captura en azul; lo demás se calcula.</t>
        </is>
      </c>
    </row>
    <row r="4">
      <c r="A4" s="3" t="inlineStr">
        <is>
          <t>Área</t>
        </is>
      </c>
      <c r="B4" s="3" t="inlineStr">
        <is>
          <t>No.</t>
        </is>
      </c>
      <c r="C4" s="3" t="inlineStr">
        <is>
          <t>Actividad</t>
        </is>
      </c>
      <c r="D4" s="3" t="inlineStr">
        <is>
          <t>% Falta</t>
        </is>
      </c>
      <c r="E4" s="3" t="inlineStr">
        <is>
          <t>% Avance</t>
        </is>
      </c>
      <c r="F4" s="3" t="inlineStr">
        <is>
          <t>Estado</t>
        </is>
      </c>
      <c r="G4" s="3" t="inlineStr">
        <is>
          <t>Responsable</t>
        </is>
      </c>
      <c r="H4" s="3" t="inlineStr">
        <is>
          <t>Fecha compromiso</t>
        </is>
      </c>
      <c r="I4" s="3" t="inlineStr">
        <is>
          <t>Observaciones</t>
        </is>
      </c>
    </row>
    <row r="5">
      <c r="A5" s="11" t="inlineStr">
        <is>
          <t>Trampas</t>
        </is>
      </c>
      <c r="B5" s="11" t="n">
        <v>1</v>
      </c>
      <c r="C5" s="12" t="inlineStr">
        <is>
          <t>Colocación de tapa para CVT</t>
        </is>
      </c>
      <c r="D5" s="13" t="n">
        <v>1</v>
      </c>
      <c r="E5" s="6">
        <f>IF(D5="","",1-D5)</f>
        <v/>
      </c>
      <c r="F5" s="14">
        <f>IF(D5="","",IF(D5=0,"Terminada",IF(D5=1,"Sin iniciar","En proceso")))</f>
        <v/>
      </c>
      <c r="G5" s="11" t="n"/>
      <c r="H5" s="15" t="n"/>
      <c r="I5" s="12" t="inlineStr">
        <is>
          <t>Verificar sigla (CVT) en la nota original</t>
        </is>
      </c>
    </row>
    <row r="6">
      <c r="A6" s="11" t="inlineStr">
        <is>
          <t>Trampas</t>
        </is>
      </c>
      <c r="B6" s="11" t="n">
        <v>2</v>
      </c>
      <c r="C6" s="12" t="inlineStr">
        <is>
          <t>Colocación de escalera marina</t>
        </is>
      </c>
      <c r="D6" s="16" t="n">
        <v>1</v>
      </c>
      <c r="E6" s="6">
        <f>IF(D6="","",1-D6)</f>
        <v/>
      </c>
      <c r="F6" s="14">
        <f>IF(D6="","",IF(D6=0,"Terminada",IF(D6=1,"Sin iniciar","En proceso")))</f>
        <v/>
      </c>
      <c r="G6" s="11" t="n"/>
      <c r="H6" s="15" t="n"/>
      <c r="I6" s="12" t="n"/>
    </row>
    <row r="7">
      <c r="A7" s="11" t="inlineStr">
        <is>
          <t>Trampas</t>
        </is>
      </c>
      <c r="B7" s="11" t="n">
        <v>3</v>
      </c>
      <c r="C7" s="12" t="inlineStr">
        <is>
          <t>Colado de paso de calle</t>
        </is>
      </c>
      <c r="D7" s="16" t="n">
        <v>1</v>
      </c>
      <c r="E7" s="6">
        <f>IF(D7="","",1-D7)</f>
        <v/>
      </c>
      <c r="F7" s="14">
        <f>IF(D7="","",IF(D7=0,"Terminada",IF(D7=1,"Sin iniciar","En proceso")))</f>
        <v/>
      </c>
      <c r="G7" s="11" t="n"/>
      <c r="H7" s="15" t="n"/>
      <c r="I7" s="12" t="n"/>
    </row>
    <row r="8">
      <c r="A8" s="11" t="inlineStr">
        <is>
          <t>Esferas 301 A y B</t>
        </is>
      </c>
      <c r="B8" s="11" t="n">
        <v>1</v>
      </c>
      <c r="C8" s="12" t="inlineStr">
        <is>
          <t>Colocación de dados en sitio</t>
        </is>
      </c>
      <c r="D8" s="16" t="n">
        <v>1</v>
      </c>
      <c r="E8" s="6">
        <f>IF(D8="","",1-D8)</f>
        <v/>
      </c>
      <c r="F8" s="14">
        <f>IF(D8="","",IF(D8=0,"Terminada",IF(D8=1,"Sin iniciar","En proceso")))</f>
        <v/>
      </c>
      <c r="G8" s="11" t="n"/>
      <c r="H8" s="15" t="n"/>
      <c r="I8" s="12" t="n"/>
    </row>
    <row r="9">
      <c r="A9" s="11" t="inlineStr">
        <is>
          <t>Esferas 301 A y B</t>
        </is>
      </c>
      <c r="B9" s="11" t="n">
        <v>2</v>
      </c>
      <c r="C9" s="12" t="inlineStr">
        <is>
          <t>Colado de dados</t>
        </is>
      </c>
      <c r="D9" s="16" t="n">
        <v>0.5</v>
      </c>
      <c r="E9" s="6">
        <f>IF(D9="","",1-D9)</f>
        <v/>
      </c>
      <c r="F9" s="14">
        <f>IF(D9="","",IF(D9=0,"Terminada",IF(D9=1,"Sin iniciar","En proceso")))</f>
        <v/>
      </c>
      <c r="G9" s="11" t="n"/>
      <c r="H9" s="15" t="n"/>
      <c r="I9" s="12" t="n"/>
    </row>
    <row r="10">
      <c r="A10" s="11" t="inlineStr">
        <is>
          <t>Esferas 301 A y B</t>
        </is>
      </c>
      <c r="B10" s="11" t="n">
        <v>3</v>
      </c>
      <c r="C10" s="12" t="inlineStr">
        <is>
          <t>Cimbrado de dados faltantes</t>
        </is>
      </c>
      <c r="D10" s="16" t="n">
        <v>0.5</v>
      </c>
      <c r="E10" s="6">
        <f>IF(D10="","",1-D10)</f>
        <v/>
      </c>
      <c r="F10" s="14">
        <f>IF(D10="","",IF(D10=0,"Terminada",IF(D10=1,"Sin iniciar","En proceso")))</f>
        <v/>
      </c>
      <c r="G10" s="11" t="n"/>
      <c r="H10" s="15" t="n"/>
      <c r="I10" s="12" t="n"/>
    </row>
    <row r="11">
      <c r="A11" s="11" t="inlineStr">
        <is>
          <t>Esferas 301 A y B</t>
        </is>
      </c>
      <c r="B11" s="11" t="n">
        <v>4</v>
      </c>
      <c r="C11" s="12" t="inlineStr">
        <is>
          <t>Armado de dados</t>
        </is>
      </c>
      <c r="D11" s="16" t="n">
        <v>0.7</v>
      </c>
      <c r="E11" s="6">
        <f>IF(D11="","",1-D11)</f>
        <v/>
      </c>
      <c r="F11" s="14">
        <f>IF(D11="","",IF(D11=0,"Terminada",IF(D11=1,"Sin iniciar","En proceso")))</f>
        <v/>
      </c>
      <c r="G11" s="11" t="n"/>
      <c r="H11" s="15" t="n"/>
      <c r="I11" s="12" t="n"/>
    </row>
    <row r="12">
      <c r="A12" s="11" t="inlineStr">
        <is>
          <t>Esferas 301 A y B</t>
        </is>
      </c>
      <c r="B12" s="11" t="n">
        <v>5</v>
      </c>
      <c r="C12" s="12" t="inlineStr">
        <is>
          <t>Excavación para colocación de dados</t>
        </is>
      </c>
      <c r="D12" s="16" t="n">
        <v>1</v>
      </c>
      <c r="E12" s="6">
        <f>IF(D12="","",1-D12)</f>
        <v/>
      </c>
      <c r="F12" s="14">
        <f>IF(D12="","",IF(D12=0,"Terminada",IF(D12=1,"Sin iniciar","En proceso")))</f>
        <v/>
      </c>
      <c r="G12" s="11" t="n"/>
      <c r="H12" s="15" t="n"/>
      <c r="I12" s="12" t="n"/>
    </row>
    <row r="13">
      <c r="A13" s="11" t="inlineStr">
        <is>
          <t>Esferas 301 A y B</t>
        </is>
      </c>
      <c r="B13" s="11" t="n">
        <v>6</v>
      </c>
      <c r="C13" s="12" t="inlineStr">
        <is>
          <t>Plantilla</t>
        </is>
      </c>
      <c r="D13" s="16" t="n">
        <v>1</v>
      </c>
      <c r="E13" s="6">
        <f>IF(D13="","",1-D13)</f>
        <v/>
      </c>
      <c r="F13" s="14">
        <f>IF(D13="","",IF(D13=0,"Terminada",IF(D13=1,"Sin iniciar","En proceso")))</f>
        <v/>
      </c>
      <c r="G13" s="11" t="n"/>
      <c r="H13" s="15" t="n"/>
      <c r="I13" s="12" t="inlineStr">
        <is>
          <t>Según Diego Juárez no lleva, pero para colocar bien los dados hay que considerarla</t>
        </is>
      </c>
    </row>
    <row r="14">
      <c r="A14" s="11" t="inlineStr">
        <is>
          <t>Esferas 301 A y B</t>
        </is>
      </c>
      <c r="B14" s="11" t="n">
        <v>7</v>
      </c>
      <c r="C14" s="12" t="inlineStr">
        <is>
          <t>Colocación de 4 dados adicionales para Luis Guerrero</t>
        </is>
      </c>
      <c r="D14" s="16" t="n">
        <v>1</v>
      </c>
      <c r="E14" s="6">
        <f>IF(D14="","",1-D14)</f>
        <v/>
      </c>
      <c r="F14" s="14">
        <f>IF(D14="","",IF(D14=0,"Terminada",IF(D14=1,"Sin iniciar","En proceso")))</f>
        <v/>
      </c>
      <c r="G14" s="11" t="n"/>
      <c r="H14" s="15" t="n"/>
      <c r="I14" s="12" t="n"/>
    </row>
    <row r="15">
      <c r="A15" s="11" t="inlineStr">
        <is>
          <t>Esferas 301 A y B</t>
        </is>
      </c>
      <c r="B15" s="11" t="n">
        <v>8</v>
      </c>
      <c r="C15" s="12" t="inlineStr">
        <is>
          <t>Reparación de mochetas</t>
        </is>
      </c>
      <c r="D15" s="16" t="n">
        <v>1</v>
      </c>
      <c r="E15" s="6">
        <f>IF(D15="","",1-D15)</f>
        <v/>
      </c>
      <c r="F15" s="14">
        <f>IF(D15="","",IF(D15=0,"Terminada",IF(D15=1,"Sin iniciar","En proceso")))</f>
        <v/>
      </c>
      <c r="G15" s="11" t="n"/>
      <c r="H15" s="15" t="n"/>
      <c r="I15" s="12" t="n"/>
    </row>
    <row r="16">
      <c r="A16" s="11" t="inlineStr">
        <is>
          <t>Esferas 301 A y B</t>
        </is>
      </c>
      <c r="B16" s="11" t="n">
        <v>9</v>
      </c>
      <c r="C16" s="12" t="inlineStr">
        <is>
          <t>Colado de grout</t>
        </is>
      </c>
      <c r="D16" s="16" t="n">
        <v>1</v>
      </c>
      <c r="E16" s="6">
        <f>IF(D16="","",1-D16)</f>
        <v/>
      </c>
      <c r="F16" s="14">
        <f>IF(D16="","",IF(D16=0,"Terminada",IF(D16=1,"Sin iniciar","En proceso")))</f>
        <v/>
      </c>
      <c r="G16" s="11" t="n"/>
      <c r="H16" s="15" t="n"/>
      <c r="I16" s="12" t="n"/>
    </row>
    <row r="17">
      <c r="A17" s="11" t="inlineStr">
        <is>
          <t>TU-45</t>
        </is>
      </c>
      <c r="B17" s="11" t="n">
        <v>1</v>
      </c>
      <c r="C17" s="12" t="inlineStr">
        <is>
          <t>Sello en pisos (juntas)</t>
        </is>
      </c>
      <c r="D17" s="13" t="n">
        <v>0.6</v>
      </c>
      <c r="E17" s="6">
        <f>IF(D17="","",1-D17)</f>
        <v/>
      </c>
      <c r="F17" s="14">
        <f>IF(D17="","",IF(D17=0,"Terminada",IF(D17=1,"Sin iniciar","En proceso")))</f>
        <v/>
      </c>
      <c r="G17" s="11" t="n"/>
      <c r="H17" s="15" t="n"/>
      <c r="I17" s="12" t="inlineStr">
        <is>
          <t>Verificar % en la nota original (se leyó 60%)</t>
        </is>
      </c>
    </row>
    <row r="18">
      <c r="A18" s="11" t="inlineStr">
        <is>
          <t>TU-45</t>
        </is>
      </c>
      <c r="B18" s="11" t="n">
        <v>2</v>
      </c>
      <c r="C18" s="12" t="inlineStr">
        <is>
          <t>Corte para juntas (ruta eléctrica)</t>
        </is>
      </c>
      <c r="D18" s="16" t="n">
        <v>0.9</v>
      </c>
      <c r="E18" s="6">
        <f>IF(D18="","",1-D18)</f>
        <v/>
      </c>
      <c r="F18" s="14">
        <f>IF(D18="","",IF(D18=0,"Terminada",IF(D18=1,"Sin iniciar","En proceso")))</f>
        <v/>
      </c>
      <c r="G18" s="11" t="n"/>
      <c r="H18" s="15" t="n"/>
      <c r="I18" s="12" t="n"/>
    </row>
    <row r="19">
      <c r="A19" s="11" t="inlineStr">
        <is>
          <t>TU-45</t>
        </is>
      </c>
      <c r="B19" s="11" t="n">
        <v>3</v>
      </c>
      <c r="C19" s="12" t="inlineStr">
        <is>
          <t>Reparación de mochetas</t>
        </is>
      </c>
      <c r="D19" s="16" t="n">
        <v>0.15</v>
      </c>
      <c r="E19" s="6">
        <f>IF(D19="","",1-D19)</f>
        <v/>
      </c>
      <c r="F19" s="14">
        <f>IF(D19="","",IF(D19=0,"Terminada",IF(D19=1,"Sin iniciar","En proceso")))</f>
        <v/>
      </c>
      <c r="G19" s="11" t="n"/>
      <c r="H19" s="15" t="n"/>
      <c r="I19" s="12" t="n"/>
    </row>
    <row r="20">
      <c r="A20" s="11" t="inlineStr">
        <is>
          <t>TU-45</t>
        </is>
      </c>
      <c r="B20" s="11" t="n">
        <v>4</v>
      </c>
      <c r="C20" s="12" t="inlineStr">
        <is>
          <t>Sello en tanque</t>
        </is>
      </c>
      <c r="D20" s="16" t="n">
        <v>0.05</v>
      </c>
      <c r="E20" s="6">
        <f>IF(D20="","",1-D20)</f>
        <v/>
      </c>
      <c r="F20" s="14">
        <f>IF(D20="","",IF(D20=0,"Terminada",IF(D20=1,"Sin iniciar","En proceso")))</f>
        <v/>
      </c>
      <c r="G20" s="11" t="n"/>
      <c r="H20" s="15" t="n"/>
      <c r="I20" s="12" t="n"/>
    </row>
    <row r="21">
      <c r="A21" s="11" t="inlineStr">
        <is>
          <t>TU-45</t>
        </is>
      </c>
      <c r="B21" s="11" t="n">
        <v>5</v>
      </c>
      <c r="C21" s="12" t="inlineStr">
        <is>
          <t>Reparación de cunetas</t>
        </is>
      </c>
      <c r="D21" s="16" t="n">
        <v>0.25</v>
      </c>
      <c r="E21" s="6">
        <f>IF(D21="","",1-D21)</f>
        <v/>
      </c>
      <c r="F21" s="14">
        <f>IF(D21="","",IF(D21=0,"Terminada",IF(D21=1,"Sin iniciar","En proceso")))</f>
        <v/>
      </c>
      <c r="G21" s="11" t="n"/>
      <c r="H21" s="15" t="n"/>
      <c r="I21" s="12" t="n"/>
    </row>
    <row r="22">
      <c r="A22" s="11" t="inlineStr">
        <is>
          <t>TU-45</t>
        </is>
      </c>
      <c r="B22" s="11" t="n">
        <v>6</v>
      </c>
      <c r="C22" s="12" t="inlineStr">
        <is>
          <t>Reparación de talud</t>
        </is>
      </c>
      <c r="D22" s="16" t="n">
        <v>0.6</v>
      </c>
      <c r="E22" s="6">
        <f>IF(D22="","",1-D22)</f>
        <v/>
      </c>
      <c r="F22" s="14">
        <f>IF(D22="","",IF(D22=0,"Terminada",IF(D22=1,"Sin iniciar","En proceso")))</f>
        <v/>
      </c>
      <c r="G22" s="11" t="n"/>
      <c r="H22" s="15" t="n"/>
      <c r="I22" s="12" t="n"/>
    </row>
    <row r="23">
      <c r="A23" s="11" t="inlineStr">
        <is>
          <t>TU-45</t>
        </is>
      </c>
      <c r="B23" s="11" t="n">
        <v>7</v>
      </c>
      <c r="C23" s="12" t="inlineStr">
        <is>
          <t>Colocación de flechas</t>
        </is>
      </c>
      <c r="D23" s="16" t="n">
        <v>1</v>
      </c>
      <c r="E23" s="6">
        <f>IF(D23="","",1-D23)</f>
        <v/>
      </c>
      <c r="F23" s="14">
        <f>IF(D23="","",IF(D23=0,"Terminada",IF(D23=1,"Sin iniciar","En proceso")))</f>
        <v/>
      </c>
      <c r="G23" s="11" t="n"/>
      <c r="H23" s="15" t="n"/>
      <c r="I23" s="12" t="n"/>
    </row>
    <row r="24">
      <c r="A24" s="11" t="inlineStr">
        <is>
          <t>TU-45</t>
        </is>
      </c>
      <c r="B24" s="11" t="n">
        <v>8</v>
      </c>
      <c r="C24" s="12" t="inlineStr">
        <is>
          <t>Reparación de junta muro</t>
        </is>
      </c>
      <c r="D24" s="16" t="n">
        <v>1</v>
      </c>
      <c r="E24" s="6">
        <f>IF(D24="","",1-D24)</f>
        <v/>
      </c>
      <c r="F24" s="14">
        <f>IF(D24="","",IF(D24=0,"Terminada",IF(D24=1,"Sin iniciar","En proceso")))</f>
        <v/>
      </c>
      <c r="G24" s="11" t="n"/>
      <c r="H24" s="15" t="n"/>
      <c r="I24" s="12" t="n"/>
    </row>
    <row r="25">
      <c r="A25" s="11" t="inlineStr">
        <is>
          <t>TU-45</t>
        </is>
      </c>
      <c r="B25" s="11" t="n">
        <v>9</v>
      </c>
      <c r="C25" s="12" t="inlineStr">
        <is>
          <t>Reparación de sardinel REG</t>
        </is>
      </c>
      <c r="D25" s="16" t="n">
        <v>0.85</v>
      </c>
      <c r="E25" s="6">
        <f>IF(D25="","",1-D25)</f>
        <v/>
      </c>
      <c r="F25" s="14">
        <f>IF(D25="","",IF(D25=0,"Terminada",IF(D25=1,"Sin iniciar","En proceso")))</f>
        <v/>
      </c>
      <c r="G25" s="11" t="n"/>
      <c r="H25" s="15" t="n"/>
      <c r="I25" s="12" t="n"/>
    </row>
    <row r="26">
      <c r="A26" s="11" t="inlineStr">
        <is>
          <t>TU-45</t>
        </is>
      </c>
      <c r="B26" s="11" t="n">
        <v>10</v>
      </c>
      <c r="C26" s="12" t="inlineStr">
        <is>
          <t>Desazolve de REG AC</t>
        </is>
      </c>
      <c r="D26" s="16" t="n">
        <v>0.7</v>
      </c>
      <c r="E26" s="6">
        <f>IF(D26="","",1-D26)</f>
        <v/>
      </c>
      <c r="F26" s="14">
        <f>IF(D26="","",IF(D26=0,"Terminada",IF(D26=1,"Sin iniciar","En proceso")))</f>
        <v/>
      </c>
      <c r="G26" s="11" t="n"/>
      <c r="H26" s="15" t="n"/>
      <c r="I26" s="12" t="n"/>
    </row>
    <row r="27">
      <c r="A27" s="11" t="inlineStr">
        <is>
          <t>TU-45</t>
        </is>
      </c>
      <c r="B27" s="11" t="n">
        <v>11</v>
      </c>
      <c r="C27" s="12" t="inlineStr">
        <is>
          <t>Reparación de anillo de cimentación</t>
        </is>
      </c>
      <c r="D27" s="13" t="n">
        <v>0.05</v>
      </c>
      <c r="E27" s="6">
        <f>IF(D27="","",1-D27)</f>
        <v/>
      </c>
      <c r="F27" s="14">
        <f>IF(D27="","",IF(D27=0,"Terminada",IF(D27=1,"Sin iniciar","En proceso")))</f>
        <v/>
      </c>
      <c r="G27" s="11" t="n"/>
      <c r="H27" s="15" t="n"/>
      <c r="I27" s="12" t="inlineStr">
        <is>
          <t>En la nota dice 'anillo ciment.'; verificar</t>
        </is>
      </c>
    </row>
    <row r="28">
      <c r="A28" s="11" t="inlineStr">
        <is>
          <t>TU-45</t>
        </is>
      </c>
      <c r="B28" s="11" t="n">
        <v>12</v>
      </c>
      <c r="C28" s="12" t="inlineStr">
        <is>
          <t>Reparación de tapas REG</t>
        </is>
      </c>
      <c r="D28" s="16" t="n">
        <v>1</v>
      </c>
      <c r="E28" s="6">
        <f>IF(D28="","",1-D28)</f>
        <v/>
      </c>
      <c r="F28" s="14">
        <f>IF(D28="","",IF(D28=0,"Terminada",IF(D28=1,"Sin iniciar","En proceso")))</f>
        <v/>
      </c>
      <c r="G28" s="11" t="n"/>
      <c r="H28" s="15" t="n"/>
      <c r="I28" s="12" t="n"/>
    </row>
  </sheetData>
  <autoFilter ref="A4:I28"/>
  <conditionalFormatting sqref="E5:E28">
    <cfRule type="dataBar" priority="1">
      <dataBar>
        <cfvo type="num" val="0"/>
        <cfvo type="num" val="1"/>
        <color rgb="0063BE7B"/>
      </dataBar>
    </cfRule>
  </conditionalFormatting>
  <conditionalFormatting sqref="F5:F28">
    <cfRule type="cellIs" priority="2" operator="equal" dxfId="0">
      <formula>"Terminada"</formula>
    </cfRule>
    <cfRule type="cellIs" priority="3" operator="equal" dxfId="1">
      <formula>"En proceso"</formula>
    </cfRule>
    <cfRule type="cellIs" priority="4" operator="equal" dxfId="2">
      <formula>"Sin iniciar"</formula>
    </cfRule>
  </conditionalFormatting>
  <dataValidations count="1">
    <dataValidation sqref="D5:D68" showDropDown="0" showInputMessage="0" showErrorMessage="1" allowBlank="1" error="Captura un porcentaje entre 0% y 100%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2026-10-02T20:48:37Z</dcterms:created>
  <dcterms:modified xsi:type="dcterms:W3CDTF">2026-10-02T20:55:26Z</dcterms:modified>
</cp:coreProperties>
</file>